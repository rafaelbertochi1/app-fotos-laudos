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IO" sheetId="1" state="visible" r:id="rId1"/>
    <sheet xmlns:r="http://schemas.openxmlformats.org/officeDocument/2006/relationships" name="PAG.1" sheetId="2" state="visible" r:id="rId2"/>
    <sheet xmlns:r="http://schemas.openxmlformats.org/officeDocument/2006/relationships" name="PAG.2" sheetId="3" state="visible" r:id="rId3"/>
    <sheet xmlns:r="http://schemas.openxmlformats.org/officeDocument/2006/relationships" name="CROQUI-PLANTA" sheetId="4" state="visible" r:id="rId4"/>
    <sheet xmlns:r="http://schemas.openxmlformats.org/officeDocument/2006/relationships" name="FOTOS" sheetId="5" state="visible" r:id="rId5"/>
  </sheets>
  <definedNames>
    <definedName name="_xlnm.Print_Area" localSheetId="0">'FORMULARIO'!$C$1:$P$171</definedName>
    <definedName name="_xlnm.Print_Area" localSheetId="1">'PAG.1'!$A$1:$K$68</definedName>
    <definedName name="_xlnm.Print_Area" localSheetId="2">'PAG.2'!$A$1:$L$68</definedName>
    <definedName name="_xlnm.Print_Area" localSheetId="3">'CROQUI-PLANTA'!$A$1:$L$17</definedName>
    <definedName name="_xlnm.Print_Area" localSheetId="4">'FOTOS'!$A$1:$L$23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0000-000"/>
    <numFmt numFmtId="165" formatCode="dd/mm/yyyy"/>
    <numFmt numFmtId="166" formatCode="0.000000"/>
    <numFmt numFmtId="167" formatCode="0000000000000"/>
    <numFmt numFmtId="168" formatCode="&quot;R$&quot; #,##0.00"/>
  </numFmts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  <sz val="12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9E5"/>
      </patternFill>
    </fill>
    <fill>
      <patternFill patternType="solid">
        <fgColor rgb="00EDEDED"/>
      </patternFill>
    </fill>
  </fills>
  <borders count="14">
    <border>
      <left/>
      <right/>
      <top/>
      <bottom/>
      <diagonal/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top style="thin">
        <color rgb="007F7F7F"/>
      </top>
      <bottom style="thin">
        <color rgb="007F7F7F"/>
      </bottom>
    </border>
    <border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</border>
    <border>
      <top style="thin">
        <color rgb="007F7F7F"/>
      </top>
    </border>
    <border>
      <right style="thin">
        <color rgb="007F7F7F"/>
      </right>
      <top style="thin">
        <color rgb="007F7F7F"/>
      </top>
    </border>
    <border>
      <left style="thin">
        <color rgb="007F7F7F"/>
      </left>
      <bottom style="thin">
        <color rgb="007F7F7F"/>
      </bottom>
    </border>
    <border>
      <bottom style="thin">
        <color rgb="007F7F7F"/>
      </bottom>
    </border>
    <border>
      <right style="thin">
        <color rgb="007F7F7F"/>
      </right>
      <bottom style="thin">
        <color rgb="007F7F7F"/>
      </bottom>
    </border>
    <border>
      <left style="thin">
        <color rgb="007F7F7F"/>
      </left>
    </border>
    <border/>
    <border>
      <right style="thin">
        <color rgb="007F7F7F"/>
      </right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3" borderId="2" pivotButton="0" quotePrefix="0" xfId="0"/>
    <xf numFmtId="0" fontId="0" fillId="3" borderId="3" pivotButton="0" quotePrefix="0" xfId="0"/>
    <xf numFmtId="1" fontId="2" fillId="3" borderId="4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49" fontId="2" fillId="3" borderId="4" applyAlignment="1" pivotButton="0" quotePrefix="0" xfId="0">
      <alignment horizontal="left" vertical="center"/>
    </xf>
    <xf numFmtId="0" fontId="2" fillId="3" borderId="4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2" fontId="2" fillId="3" borderId="4" applyAlignment="1" pivotButton="0" quotePrefix="0" xfId="0">
      <alignment horizontal="left" vertical="center"/>
    </xf>
    <xf numFmtId="166" fontId="2" fillId="3" borderId="4" applyAlignment="1" pivotButton="0" quotePrefix="0" xfId="0">
      <alignment horizontal="left" vertical="center"/>
    </xf>
    <xf numFmtId="167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left" vertical="center"/>
    </xf>
    <xf numFmtId="0" fontId="3" fillId="4" borderId="4" applyAlignment="1" pivotButton="0" quotePrefix="0" xfId="0">
      <alignment horizontal="center" vertical="center" wrapText="1"/>
    </xf>
    <xf numFmtId="0" fontId="0" fillId="0" borderId="4" pivotButton="0" quotePrefix="0" xfId="0"/>
    <xf numFmtId="168" fontId="2" fillId="3" borderId="1" applyAlignment="1" pivotButton="0" quotePrefix="0" xfId="0">
      <alignment horizontal="left" vertical="center"/>
    </xf>
    <xf numFmtId="165" fontId="2" fillId="3" borderId="4" applyAlignment="1" pivotButton="0" quotePrefix="0" xfId="0">
      <alignment horizontal="left" vertical="center"/>
    </xf>
    <xf numFmtId="20" fontId="2" fillId="3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5" fillId="0" borderId="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0" fillId="4" borderId="6" pivotButton="0" quotePrefix="0" xfId="0"/>
    <xf numFmtId="0" fontId="0" fillId="4" borderId="7" pivotButton="0" quotePrefix="0" xfId="0"/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165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8" fontId="2" fillId="0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2" fillId="0" borderId="5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20" fontId="0" fillId="0" borderId="0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P167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2" customWidth="1" min="3" max="3"/>
    <col width="4" customWidth="1" min="4" max="4"/>
    <col width="48" customWidth="1" min="5" max="5"/>
    <col width="11" customWidth="1" min="6" max="6"/>
    <col width="13" customWidth="1" min="7" max="7"/>
    <col width="13" customWidth="1" min="8" max="8"/>
    <col width="11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40" customHeight="1">
      <c r="C1" s="1" t="inlineStr">
        <is>
          <t>FORMULÁRIO PADRÃO - BANCO D (MODELO DE EXEMPLO)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4">
      <c r="E4" s="4" t="inlineStr">
        <is>
          <t>Empresa avaliadora:</t>
        </is>
      </c>
      <c r="F4" s="5" t="inlineStr">
        <is>
          <t>EMPRESA DE AVALIAÇÃO (EXEMPLO)</t>
        </is>
      </c>
      <c r="G4" s="6" t="n"/>
      <c r="H4" s="6" t="n"/>
      <c r="I4" s="6" t="n"/>
      <c r="J4" s="6" t="n"/>
      <c r="K4" s="6" t="n"/>
      <c r="L4" s="7" t="n"/>
    </row>
    <row r="5">
      <c r="E5" s="4" t="inlineStr">
        <is>
          <t>Junção:</t>
        </is>
      </c>
      <c r="F5" s="8" t="n">
        <v>9999</v>
      </c>
    </row>
    <row r="6">
      <c r="E6" s="4" t="inlineStr">
        <is>
          <t>Nome da junção:</t>
        </is>
      </c>
      <c r="F6" s="5" t="inlineStr">
        <is>
          <t>AGÊNCIA DE OUTRO CASO</t>
        </is>
      </c>
      <c r="G6" s="6" t="n"/>
      <c r="H6" s="6" t="n"/>
      <c r="I6" s="6" t="n"/>
      <c r="J6" s="6" t="n"/>
      <c r="K6" s="6" t="n"/>
      <c r="L6" s="7" t="n"/>
    </row>
    <row r="7">
      <c r="E7" s="4" t="inlineStr">
        <is>
          <t>Protocolo:</t>
        </is>
      </c>
      <c r="F7" s="9" t="n"/>
      <c r="G7" s="6" t="n"/>
      <c r="H7" s="7" t="n"/>
    </row>
    <row r="8">
      <c r="E8" s="4" t="inlineStr">
        <is>
          <t>Nº do laudo:</t>
        </is>
      </c>
      <c r="F8" s="5" t="n"/>
      <c r="G8" s="6" t="n"/>
      <c r="H8" s="7" t="n"/>
    </row>
    <row r="9">
      <c r="E9" s="4" t="inlineStr">
        <is>
          <t>Grupo (só consórcio):</t>
        </is>
      </c>
      <c r="F9" s="5" t="n"/>
      <c r="G9" s="6" t="n"/>
      <c r="H9" s="7" t="n"/>
    </row>
    <row r="10">
      <c r="E10" s="4" t="inlineStr">
        <is>
          <t>Cota (só consórcio):</t>
        </is>
      </c>
      <c r="F10" s="5" t="n"/>
      <c r="G10" s="6" t="n"/>
      <c r="H10" s="7" t="n"/>
    </row>
    <row r="11">
      <c r="E11" s="4" t="inlineStr">
        <is>
          <t>Proponente:</t>
        </is>
      </c>
      <c r="F11" s="5" t="n"/>
      <c r="G11" s="6" t="n"/>
      <c r="H11" s="6" t="n"/>
      <c r="I11" s="6" t="n"/>
      <c r="J11" s="6" t="n"/>
      <c r="K11" s="6" t="n"/>
      <c r="L11" s="7" t="n"/>
    </row>
    <row r="12">
      <c r="E12" s="4" t="inlineStr">
        <is>
          <t>Endereço (tipo / nome):</t>
        </is>
      </c>
      <c r="F12" s="10" t="n"/>
      <c r="G12" s="5" t="n"/>
      <c r="H12" s="6" t="n"/>
      <c r="I12" s="6" t="n"/>
      <c r="J12" s="6" t="n"/>
      <c r="K12" s="6" t="n"/>
      <c r="L12" s="7" t="n"/>
    </row>
    <row r="13">
      <c r="E13" s="4" t="inlineStr">
        <is>
          <t>Nº:</t>
        </is>
      </c>
      <c r="F13" s="11" t="n"/>
    </row>
    <row r="14">
      <c r="E14" s="4" t="inlineStr">
        <is>
          <t>Complemento:</t>
        </is>
      </c>
      <c r="F14" s="5" t="n"/>
      <c r="G14" s="6" t="n"/>
      <c r="H14" s="6" t="n"/>
      <c r="I14" s="6" t="n"/>
      <c r="J14" s="6" t="n"/>
      <c r="K14" s="6" t="n"/>
      <c r="L14" s="7" t="n"/>
    </row>
    <row r="15">
      <c r="E15" s="4" t="inlineStr">
        <is>
          <t>Bairro:</t>
        </is>
      </c>
      <c r="F15" s="5" t="n"/>
      <c r="G15" s="6" t="n"/>
      <c r="H15" s="6" t="n"/>
      <c r="I15" s="6" t="n"/>
      <c r="J15" s="6" t="n"/>
      <c r="K15" s="6" t="n"/>
      <c r="L15" s="7" t="n"/>
    </row>
    <row r="16">
      <c r="E16" s="4" t="inlineStr">
        <is>
          <t>Cidade:</t>
        </is>
      </c>
      <c r="F16" s="5" t="n"/>
      <c r="G16" s="6" t="n"/>
      <c r="H16" s="6" t="n"/>
      <c r="I16" s="6" t="n"/>
      <c r="J16" s="6" t="n"/>
      <c r="K16" s="6" t="n"/>
      <c r="L16" s="7" t="n"/>
    </row>
    <row r="17">
      <c r="E17" s="4" t="inlineStr">
        <is>
          <t>CEP:</t>
        </is>
      </c>
      <c r="F17" s="12" t="n"/>
      <c r="G17" s="7" t="n"/>
    </row>
    <row r="18">
      <c r="E18" s="4" t="inlineStr">
        <is>
          <t>UF:</t>
        </is>
      </c>
      <c r="F18" s="11" t="n"/>
    </row>
    <row r="19">
      <c r="E19" s="4" t="inlineStr">
        <is>
          <t>Data de recebimento:</t>
        </is>
      </c>
      <c r="F19" s="13" t="n"/>
      <c r="G19" s="7" t="n"/>
    </row>
    <row r="20">
      <c r="E20" s="4" t="inlineStr">
        <is>
          <t>Data da visita:</t>
        </is>
      </c>
      <c r="F20" s="13" t="n"/>
      <c r="G20" s="7" t="n"/>
    </row>
    <row r="21">
      <c r="F21">
        <f>COUNTA(G22:G33)+COUNTA(M22:M33)</f>
        <v/>
      </c>
    </row>
    <row r="22">
      <c r="E22" s="14" t="inlineStr">
        <is>
          <t>Foi assinalado algum item restritivo?</t>
        </is>
      </c>
    </row>
    <row r="23">
      <c r="E23" s="4" t="inlineStr">
        <is>
          <t>Área contaminada</t>
        </is>
      </c>
      <c r="G23" s="11" t="n"/>
      <c r="I23" s="4" t="inlineStr">
        <is>
          <t>Sem infraestrutura básica</t>
        </is>
      </c>
      <c r="M23" s="11" t="n"/>
    </row>
    <row r="24">
      <c r="E24" s="4" t="inlineStr">
        <is>
          <t>Área de preservação ambiental</t>
        </is>
      </c>
      <c r="G24" s="11" t="n"/>
      <c r="I24" s="4" t="inlineStr">
        <is>
          <t>Mais de uma matrícula</t>
        </is>
      </c>
      <c r="M24" s="11" t="n"/>
    </row>
    <row r="25">
      <c r="E25" s="4" t="inlineStr">
        <is>
          <t>Imóvel encravado</t>
        </is>
      </c>
      <c r="G25" s="11" t="n"/>
      <c r="I25" s="4" t="inlineStr">
        <is>
          <t>Área embargada</t>
        </is>
      </c>
      <c r="M25" s="11" t="n"/>
    </row>
    <row r="26">
      <c r="E26" s="4" t="inlineStr">
        <is>
          <t>Imóvel tombado</t>
        </is>
      </c>
      <c r="G26" s="11" t="n"/>
      <c r="I26" s="4" t="inlineStr">
        <is>
          <t>Risco geológico</t>
        </is>
      </c>
      <c r="M26" s="11" t="n"/>
    </row>
    <row r="33">
      <c r="F33" s="14" t="inlineStr">
        <is>
          <t>CNS Cartório</t>
        </is>
      </c>
      <c r="H33" s="14" t="inlineStr">
        <is>
          <t>Livro</t>
        </is>
      </c>
      <c r="J33" s="14" t="inlineStr">
        <is>
          <t>Nº Matrícula</t>
        </is>
      </c>
      <c r="L33" s="14" t="inlineStr">
        <is>
          <t>Dígito</t>
        </is>
      </c>
    </row>
    <row r="34">
      <c r="E34" s="4" t="inlineStr">
        <is>
          <t>Matrícula do imóvel:</t>
        </is>
      </c>
      <c r="F34" s="10" t="n"/>
      <c r="H34" s="10" t="n"/>
      <c r="J34" s="10" t="n"/>
      <c r="L34" s="10" t="n"/>
    </row>
    <row r="36">
      <c r="E36" s="4" t="inlineStr">
        <is>
          <t>Tipo de operação:</t>
        </is>
      </c>
      <c r="F36" s="5" t="inlineStr">
        <is>
          <t>GARANTIA (IMÓVEL URBANO)</t>
        </is>
      </c>
      <c r="G36" s="6" t="n"/>
      <c r="H36" s="6" t="n"/>
      <c r="I36" s="6" t="n"/>
      <c r="J36" s="6" t="n"/>
      <c r="K36" s="6" t="n"/>
      <c r="L36" s="7" t="n"/>
    </row>
    <row r="37">
      <c r="E37" s="4" t="inlineStr">
        <is>
          <t>Qtde. de vagas de garagem:</t>
        </is>
      </c>
      <c r="F37" s="11" t="n"/>
      <c r="M37" s="4" t="inlineStr">
        <is>
          <t>Descobertas:</t>
        </is>
      </c>
      <c r="N37" s="11" t="n"/>
      <c r="O37" s="4" t="inlineStr">
        <is>
          <t>Cobertas:</t>
        </is>
      </c>
      <c r="P37" s="11" t="n"/>
    </row>
    <row r="38">
      <c r="E38" s="4" t="inlineStr">
        <is>
          <t>Possui vagas?</t>
        </is>
      </c>
      <c r="F38" s="11" t="n"/>
    </row>
    <row r="40">
      <c r="E40" s="14" t="inlineStr">
        <is>
          <t>ÁREAS - MATRÍCULA</t>
        </is>
      </c>
      <c r="I40" s="14" t="inlineStr">
        <is>
          <t>ESTIMADA</t>
        </is>
      </c>
    </row>
    <row r="42">
      <c r="E42" s="4" t="inlineStr">
        <is>
          <t>Terreno (m²):</t>
        </is>
      </c>
      <c r="F42" s="15" t="n"/>
      <c r="I42" s="4" t="inlineStr">
        <is>
          <t>Terreno:</t>
        </is>
      </c>
      <c r="J42" s="15" t="n"/>
    </row>
    <row r="43">
      <c r="E43" s="4" t="inlineStr">
        <is>
          <t>Construída (m²):</t>
        </is>
      </c>
      <c r="F43" s="15" t="n"/>
      <c r="I43" s="4" t="inlineStr">
        <is>
          <t>Construída:</t>
        </is>
      </c>
      <c r="J43" s="15" t="n"/>
    </row>
    <row r="44">
      <c r="E44" s="4" t="inlineStr">
        <is>
          <t>Comum (m²):</t>
        </is>
      </c>
      <c r="F44" s="15" t="n"/>
      <c r="I44" s="14" t="inlineStr">
        <is>
          <t>IPTU</t>
        </is>
      </c>
    </row>
    <row r="45">
      <c r="E45" s="4" t="inlineStr">
        <is>
          <t>Garagem (m²):</t>
        </is>
      </c>
      <c r="F45" s="15" t="n"/>
      <c r="I45" s="4" t="inlineStr">
        <is>
          <t>Terreno:</t>
        </is>
      </c>
      <c r="J45" s="15" t="n"/>
    </row>
    <row r="46">
      <c r="E46" s="4" t="inlineStr">
        <is>
          <t>Depósito (m²):</t>
        </is>
      </c>
      <c r="F46" s="15" t="n"/>
      <c r="I46" s="4" t="inlineStr">
        <is>
          <t>Construída:</t>
        </is>
      </c>
      <c r="J46" s="15" t="n"/>
    </row>
    <row r="47">
      <c r="E47" s="4" t="inlineStr">
        <is>
          <t>Total (m²):</t>
        </is>
      </c>
      <c r="F47" s="15">
        <f>F44+F43</f>
        <v/>
      </c>
      <c r="I47" s="4" t="inlineStr">
        <is>
          <t>Áreas sem averbação (m²):</t>
        </is>
      </c>
    </row>
    <row r="48">
      <c r="E48" s="4" t="inlineStr">
        <is>
          <t>Fração ideal:</t>
        </is>
      </c>
      <c r="F48" s="16" t="n"/>
      <c r="I48" s="15" t="n"/>
    </row>
    <row r="57">
      <c r="E57" s="4" t="inlineStr">
        <is>
          <t>Comercialização:</t>
        </is>
      </c>
      <c r="F57" s="5" t="n"/>
      <c r="G57" s="6" t="n"/>
      <c r="H57" s="7" t="n"/>
    </row>
    <row r="58">
      <c r="E58" s="4" t="inlineStr">
        <is>
          <t>Localização:</t>
        </is>
      </c>
      <c r="F58" s="5" t="n"/>
      <c r="G58" s="6" t="n"/>
      <c r="H58" s="7" t="n"/>
    </row>
    <row r="59">
      <c r="E59" s="4" t="inlineStr">
        <is>
          <t>Regime de ocupação:</t>
        </is>
      </c>
      <c r="F59" s="5" t="n"/>
      <c r="G59" s="6" t="n"/>
      <c r="H59" s="7" t="n"/>
    </row>
    <row r="60" ht="90" customHeight="1">
      <c r="E60" s="4" t="inlineStr">
        <is>
          <t>Comentário:</t>
        </is>
      </c>
      <c r="F60" s="5" t="n"/>
      <c r="G60" s="6" t="n"/>
      <c r="H60" s="6" t="n"/>
      <c r="I60" s="6" t="n"/>
      <c r="J60" s="6" t="n"/>
      <c r="K60" s="6" t="n"/>
      <c r="L60" s="7" t="n"/>
    </row>
    <row r="61">
      <c r="E61" s="4" t="inlineStr">
        <is>
          <t>Data do laudo:</t>
        </is>
      </c>
      <c r="F61" s="13" t="n"/>
      <c r="G61" s="7" t="n"/>
    </row>
    <row r="62">
      <c r="E62" s="4" t="inlineStr">
        <is>
          <t>Engenheiro(a) responsável:</t>
        </is>
      </c>
      <c r="F62" s="5" t="n"/>
      <c r="G62" s="6" t="n"/>
      <c r="H62" s="6" t="n"/>
      <c r="I62" s="6" t="n"/>
      <c r="J62" s="6" t="n"/>
      <c r="K62" s="6" t="n"/>
      <c r="L62" s="7" t="n"/>
    </row>
    <row r="63">
      <c r="E63" s="4" t="inlineStr">
        <is>
          <t>CREA:</t>
        </is>
      </c>
      <c r="F63" s="17" t="n"/>
      <c r="G63" s="7" t="n"/>
    </row>
    <row r="64">
      <c r="E64" s="4" t="inlineStr">
        <is>
          <t>Local:</t>
        </is>
      </c>
      <c r="F64" s="5" t="n"/>
      <c r="G64" s="6" t="n"/>
      <c r="H64" s="7" t="n"/>
    </row>
    <row r="65">
      <c r="E65" s="4" t="inlineStr">
        <is>
          <t>Imóvel residencial com uso comercial?</t>
        </is>
      </c>
      <c r="F65" s="5" t="n"/>
      <c r="G65" s="6" t="n"/>
      <c r="H65" s="7" t="n"/>
    </row>
    <row r="67">
      <c r="E67" s="14" t="inlineStr">
        <is>
          <t>CARACTERÍSTICAS DA REGIÃO</t>
        </is>
      </c>
    </row>
    <row r="69">
      <c r="E69" s="4" t="inlineStr">
        <is>
          <t>Distância até (m):</t>
        </is>
      </c>
      <c r="F69" s="14" t="inlineStr">
        <is>
          <t>500</t>
        </is>
      </c>
      <c r="G69" s="14" t="inlineStr">
        <is>
          <t>1000</t>
        </is>
      </c>
      <c r="H69" s="14" t="inlineStr">
        <is>
          <t>&gt;1000</t>
        </is>
      </c>
    </row>
    <row r="70">
      <c r="J70" s="14" t="inlineStr">
        <is>
          <t>Bairro</t>
        </is>
      </c>
    </row>
    <row r="71">
      <c r="E71" s="4" t="inlineStr">
        <is>
          <t>Coleta de lixo:</t>
        </is>
      </c>
      <c r="F71" s="11" t="n"/>
      <c r="G71" s="11" t="n"/>
      <c r="H71" s="11" t="n"/>
      <c r="J71" s="5" t="n"/>
      <c r="K71" s="6" t="n"/>
      <c r="L71" s="7" t="n"/>
    </row>
    <row r="72">
      <c r="E72" s="4" t="inlineStr">
        <is>
          <t>Transporte coletivo:</t>
        </is>
      </c>
      <c r="F72" s="11" t="n"/>
      <c r="G72" s="11" t="n"/>
      <c r="H72" s="11" t="n"/>
      <c r="J72" s="14" t="inlineStr">
        <is>
          <t>Predominância</t>
        </is>
      </c>
    </row>
    <row r="73">
      <c r="E73" s="4" t="inlineStr">
        <is>
          <t>Comércio:</t>
        </is>
      </c>
      <c r="F73" s="11" t="n"/>
      <c r="G73" s="11" t="n"/>
      <c r="H73" s="11" t="n"/>
      <c r="J73" s="5" t="n"/>
      <c r="K73" s="6" t="n"/>
      <c r="L73" s="7" t="n"/>
    </row>
    <row r="74">
      <c r="E74" s="4" t="inlineStr">
        <is>
          <t>Rede bancária:</t>
        </is>
      </c>
      <c r="F74" s="11" t="n"/>
      <c r="G74" s="11" t="n"/>
      <c r="H74" s="11" t="n"/>
      <c r="J74" s="14" t="inlineStr">
        <is>
          <t>Padrão das construções</t>
        </is>
      </c>
    </row>
    <row r="75">
      <c r="E75" s="4" t="inlineStr">
        <is>
          <t>Escola:</t>
        </is>
      </c>
      <c r="F75" s="11" t="n"/>
      <c r="G75" s="11" t="n"/>
      <c r="H75" s="11" t="n"/>
      <c r="J75" s="5" t="n"/>
      <c r="K75" s="6" t="n"/>
      <c r="L75" s="7" t="n"/>
    </row>
    <row r="76">
      <c r="E76" s="4" t="inlineStr">
        <is>
          <t>Saúde:</t>
        </is>
      </c>
      <c r="F76" s="11" t="n"/>
      <c r="G76" s="11" t="n"/>
      <c r="H76" s="11" t="n"/>
      <c r="J76" s="14" t="inlineStr">
        <is>
          <t>Tráfego</t>
        </is>
      </c>
    </row>
    <row r="77">
      <c r="E77" s="4" t="inlineStr">
        <is>
          <t>Segurança:</t>
        </is>
      </c>
      <c r="F77" s="11" t="n"/>
      <c r="G77" s="11" t="n"/>
      <c r="H77" s="11" t="n"/>
      <c r="J77" s="5" t="n"/>
      <c r="K77" s="6" t="n"/>
      <c r="L77" s="7" t="n"/>
    </row>
    <row r="78">
      <c r="E78" s="4" t="inlineStr">
        <is>
          <t>Lazer:</t>
        </is>
      </c>
      <c r="F78" s="11" t="n"/>
      <c r="G78" s="11" t="n"/>
      <c r="H78" s="11" t="n"/>
    </row>
    <row r="80">
      <c r="E80" s="14" t="inlineStr">
        <is>
          <t>TERRENO</t>
        </is>
      </c>
    </row>
    <row r="82">
      <c r="E82" s="14" t="inlineStr">
        <is>
          <t>Infraestrutura urbana</t>
        </is>
      </c>
      <c r="I82" s="14" t="inlineStr">
        <is>
          <t>Área (m²)</t>
        </is>
      </c>
    </row>
    <row r="83">
      <c r="E83" s="4" t="inlineStr">
        <is>
          <t>Água</t>
        </is>
      </c>
      <c r="F83" s="11" t="n"/>
      <c r="I83" s="18" t="n"/>
      <c r="J83" s="7" t="n"/>
    </row>
    <row r="84">
      <c r="E84" s="4" t="inlineStr">
        <is>
          <t>Esgoto sanitário</t>
        </is>
      </c>
      <c r="F84" s="11" t="n"/>
    </row>
    <row r="85">
      <c r="E85" s="4" t="inlineStr">
        <is>
          <t>Energia elétrica</t>
        </is>
      </c>
      <c r="F85" s="11" t="n"/>
      <c r="I85" s="14" t="inlineStr">
        <is>
          <t>Zoneamento</t>
        </is>
      </c>
    </row>
    <row r="86">
      <c r="E86" s="4" t="inlineStr">
        <is>
          <t>Telefone</t>
        </is>
      </c>
      <c r="F86" s="11" t="n"/>
      <c r="I86" s="5" t="n"/>
      <c r="J86" s="7" t="n"/>
    </row>
    <row r="87">
      <c r="E87" s="4" t="inlineStr">
        <is>
          <t>Pavimentação</t>
        </is>
      </c>
      <c r="F87" s="11" t="n"/>
    </row>
    <row r="88">
      <c r="E88" s="4" t="inlineStr">
        <is>
          <t>Arborização</t>
        </is>
      </c>
      <c r="F88" s="11" t="n"/>
      <c r="I88" s="14" t="inlineStr">
        <is>
          <t>Topografia</t>
        </is>
      </c>
    </row>
    <row r="89">
      <c r="E89" s="4" t="inlineStr">
        <is>
          <t>Esgoto pluvial</t>
        </is>
      </c>
      <c r="F89" s="11" t="n"/>
      <c r="I89" s="5" t="n"/>
      <c r="J89" s="7" t="n"/>
    </row>
    <row r="90">
      <c r="E90" s="4" t="inlineStr">
        <is>
          <t>Gás canalizado</t>
        </is>
      </c>
      <c r="F90" s="11" t="n"/>
    </row>
    <row r="91">
      <c r="E91" s="4" t="inlineStr">
        <is>
          <t>Iluminação pública</t>
        </is>
      </c>
      <c r="F91" s="11" t="n"/>
      <c r="I91" s="14" t="inlineStr">
        <is>
          <t>Formato</t>
        </is>
      </c>
    </row>
    <row r="92">
      <c r="E92" s="4" t="inlineStr">
        <is>
          <t>Fossa</t>
        </is>
      </c>
      <c r="F92" s="11" t="n"/>
      <c r="I92" s="5" t="n"/>
      <c r="J92" s="7" t="n"/>
    </row>
    <row r="93">
      <c r="E93" s="4" t="inlineStr">
        <is>
          <t>Poço</t>
        </is>
      </c>
      <c r="F93" s="11" t="n"/>
    </row>
    <row r="95">
      <c r="E95" s="14" t="inlineStr">
        <is>
          <t>Dimensões (m)</t>
        </is>
      </c>
    </row>
    <row r="96">
      <c r="E96" s="4" t="inlineStr">
        <is>
          <t>Frente:</t>
        </is>
      </c>
      <c r="F96" s="15" t="n"/>
    </row>
    <row r="97">
      <c r="E97" s="4" t="inlineStr">
        <is>
          <t>Fundos:</t>
        </is>
      </c>
      <c r="F97" s="15" t="n"/>
    </row>
    <row r="98">
      <c r="E98" s="4" t="inlineStr">
        <is>
          <t>Lado direito:</t>
        </is>
      </c>
      <c r="F98" s="15" t="n"/>
    </row>
    <row r="99">
      <c r="E99" s="4" t="inlineStr">
        <is>
          <t>Lado esquerdo:</t>
        </is>
      </c>
      <c r="F99" s="15" t="n"/>
    </row>
    <row r="100">
      <c r="E100" s="14" t="inlineStr">
        <is>
          <t>Coordenada geográfica:</t>
        </is>
      </c>
    </row>
    <row r="101">
      <c r="E101" s="11" t="n"/>
    </row>
    <row r="103">
      <c r="E103" s="14" t="inlineStr">
        <is>
          <t>IMÓVEL</t>
        </is>
      </c>
    </row>
    <row r="105">
      <c r="E105" s="14" t="inlineStr">
        <is>
          <t>Tipo do imóvel</t>
        </is>
      </c>
      <c r="G105" s="14" t="inlineStr">
        <is>
          <t>Estrutura</t>
        </is>
      </c>
    </row>
    <row r="106">
      <c r="E106" s="11" t="n"/>
      <c r="G106" s="5" t="n"/>
      <c r="H106" s="6" t="n"/>
      <c r="I106" s="7" t="n"/>
    </row>
    <row r="107">
      <c r="E107" s="14" t="inlineStr">
        <is>
          <t>Tipo de implantação</t>
        </is>
      </c>
      <c r="G107" s="14" t="inlineStr">
        <is>
          <t>Fechamento das paredes</t>
        </is>
      </c>
    </row>
    <row r="108">
      <c r="E108" s="11" t="n"/>
      <c r="G108" s="5" t="n"/>
      <c r="H108" s="6" t="n"/>
      <c r="I108" s="7" t="n"/>
    </row>
    <row r="109">
      <c r="E109" s="14" t="inlineStr">
        <is>
          <t>Padrão de acabamento</t>
        </is>
      </c>
      <c r="G109" s="14" t="inlineStr">
        <is>
          <t>Esquadrias</t>
        </is>
      </c>
    </row>
    <row r="110">
      <c r="E110" s="11" t="n"/>
      <c r="G110" s="5" t="n"/>
      <c r="H110" s="6" t="n"/>
      <c r="I110" s="7" t="n"/>
    </row>
    <row r="111">
      <c r="E111" s="14" t="inlineStr">
        <is>
          <t>Estado de conservação</t>
        </is>
      </c>
      <c r="G111" s="14" t="inlineStr">
        <is>
          <t>Uso do imóvel</t>
        </is>
      </c>
    </row>
    <row r="112">
      <c r="E112" s="11" t="n"/>
      <c r="G112" s="5" t="n"/>
      <c r="H112" s="6" t="n"/>
      <c r="I112" s="7" t="n"/>
    </row>
    <row r="113">
      <c r="E113" s="14" t="inlineStr">
        <is>
          <t>Idade aparente (anos)</t>
        </is>
      </c>
      <c r="G113" s="14" t="inlineStr">
        <is>
          <t>Nº de pavimentos</t>
        </is>
      </c>
    </row>
    <row r="114">
      <c r="E114" s="11" t="n"/>
      <c r="G114" s="5" t="n"/>
      <c r="H114" s="6" t="n"/>
      <c r="I114" s="7" t="n"/>
    </row>
    <row r="115">
      <c r="E115" s="14" t="inlineStr">
        <is>
          <t>DESCRIÇÃO DO IMÓVEL</t>
        </is>
      </c>
    </row>
    <row r="117">
      <c r="E117" s="19" t="inlineStr">
        <is>
          <t>Compartimento</t>
        </is>
      </c>
      <c r="H117" s="19" t="inlineStr">
        <is>
          <t>Qtde.</t>
        </is>
      </c>
      <c r="I117" s="19" t="inlineStr">
        <is>
          <t>Paredes</t>
        </is>
      </c>
      <c r="J117" s="19" t="inlineStr">
        <is>
          <t>Pisos</t>
        </is>
      </c>
      <c r="K117" s="19" t="inlineStr">
        <is>
          <t>Tetos</t>
        </is>
      </c>
      <c r="L117" s="19" t="inlineStr">
        <is>
          <t>Pintura</t>
        </is>
      </c>
    </row>
    <row r="118">
      <c r="E118" s="20" t="inlineStr">
        <is>
          <t>Quartos</t>
        </is>
      </c>
      <c r="H118" s="20" t="n"/>
      <c r="I118" s="20" t="n"/>
      <c r="J118" s="20" t="n"/>
      <c r="K118" s="20" t="n"/>
      <c r="L118" s="20" t="n"/>
    </row>
    <row r="119">
      <c r="E119" s="20" t="inlineStr">
        <is>
          <t>Suítes (quarto + banheiro)</t>
        </is>
      </c>
      <c r="H119" s="20" t="n"/>
      <c r="I119" s="20" t="n"/>
      <c r="J119" s="20" t="n"/>
      <c r="K119" s="20" t="n"/>
      <c r="L119" s="20" t="n"/>
    </row>
    <row r="120">
      <c r="E120" s="20" t="inlineStr">
        <is>
          <t>Banheiro</t>
        </is>
      </c>
      <c r="H120" s="20" t="n"/>
      <c r="I120" s="20" t="n"/>
      <c r="J120" s="20" t="n"/>
      <c r="K120" s="20" t="n"/>
      <c r="L120" s="20" t="n"/>
    </row>
    <row r="121">
      <c r="E121" s="20" t="n"/>
      <c r="H121" s="20" t="n"/>
      <c r="I121" s="20" t="n"/>
      <c r="J121" s="20" t="n"/>
      <c r="K121" s="20" t="n"/>
      <c r="L121" s="20" t="n"/>
    </row>
    <row r="122">
      <c r="E122" s="20" t="n"/>
      <c r="H122" s="20" t="n"/>
      <c r="I122" s="20" t="n"/>
      <c r="J122" s="20" t="n"/>
      <c r="K122" s="20" t="n"/>
      <c r="L122" s="20" t="n"/>
    </row>
    <row r="123">
      <c r="E123" s="20" t="n"/>
      <c r="H123" s="20" t="n"/>
      <c r="I123" s="20" t="n"/>
      <c r="J123" s="20" t="n"/>
      <c r="K123" s="20" t="n"/>
      <c r="L123" s="20" t="n"/>
    </row>
    <row r="124">
      <c r="E124" s="20" t="n"/>
      <c r="H124" s="20" t="n"/>
      <c r="I124" s="20" t="n"/>
      <c r="J124" s="20" t="n"/>
      <c r="K124" s="20" t="n"/>
      <c r="L124" s="20" t="n"/>
    </row>
    <row r="125">
      <c r="E125" s="20" t="n"/>
      <c r="H125" s="20" t="n"/>
      <c r="I125" s="20" t="n"/>
      <c r="J125" s="20" t="n"/>
      <c r="K125" s="20" t="n"/>
      <c r="L125" s="20" t="n"/>
    </row>
    <row r="126">
      <c r="E126" s="20" t="n"/>
      <c r="H126" s="20" t="n"/>
      <c r="I126" s="20" t="n"/>
      <c r="J126" s="20" t="n"/>
      <c r="K126" s="20" t="n"/>
      <c r="L126" s="20" t="n"/>
    </row>
    <row r="127">
      <c r="E127" s="20" t="n"/>
      <c r="H127" s="20" t="n"/>
      <c r="I127" s="20" t="n"/>
      <c r="J127" s="20" t="n"/>
      <c r="K127" s="20" t="n"/>
      <c r="L127" s="20" t="n"/>
    </row>
    <row r="128">
      <c r="E128" s="20" t="n"/>
      <c r="H128" s="20" t="n"/>
      <c r="I128" s="20" t="n"/>
      <c r="J128" s="20" t="n"/>
      <c r="K128" s="20" t="n"/>
      <c r="L128" s="20" t="n"/>
    </row>
    <row r="129">
      <c r="E129" s="20" t="n"/>
      <c r="H129" s="20" t="n"/>
      <c r="I129" s="20" t="n"/>
      <c r="J129" s="20" t="n"/>
      <c r="K129" s="20" t="n"/>
      <c r="L129" s="20" t="n"/>
    </row>
    <row r="130">
      <c r="E130" s="20" t="n"/>
      <c r="H130" s="20" t="n"/>
      <c r="I130" s="20" t="n"/>
      <c r="J130" s="20" t="n"/>
      <c r="K130" s="20" t="n"/>
      <c r="L130" s="20" t="n"/>
    </row>
    <row r="133">
      <c r="G133" s="14" t="inlineStr">
        <is>
          <t>Valor final de avaliação:</t>
        </is>
      </c>
      <c r="J133" s="21" t="n"/>
      <c r="K133" s="7" t="n"/>
    </row>
    <row r="135">
      <c r="C135" s="4" t="inlineStr">
        <is>
          <t>Vistoriador:</t>
        </is>
      </c>
      <c r="E135" s="11" t="n"/>
      <c r="G135" s="14" t="inlineStr">
        <is>
          <t>Valor de liquidez:</t>
        </is>
      </c>
      <c r="J135" s="21" t="n"/>
      <c r="K135" s="7" t="n"/>
    </row>
    <row r="136">
      <c r="C136" s="4" t="inlineStr">
        <is>
          <t>CREA/CAU:</t>
        </is>
      </c>
      <c r="E136" s="11" t="n"/>
    </row>
    <row r="137">
      <c r="C137" s="4" t="inlineStr">
        <is>
          <t>Data:</t>
        </is>
      </c>
      <c r="E137" s="22" t="n"/>
      <c r="G137" s="14" t="inlineStr">
        <is>
          <t>Valor de locação:</t>
        </is>
      </c>
      <c r="J137" s="21" t="n"/>
      <c r="K137" s="7" t="n"/>
    </row>
    <row r="138">
      <c r="C138" s="4" t="inlineStr">
        <is>
          <t>Hora:</t>
        </is>
      </c>
      <c r="E138" s="23" t="n"/>
    </row>
    <row r="139">
      <c r="G139" s="14" t="inlineStr">
        <is>
          <t>Valor de operação:</t>
        </is>
      </c>
      <c r="J139" s="21">
        <f>J133</f>
        <v/>
      </c>
      <c r="K139" s="7" t="n"/>
    </row>
    <row r="143">
      <c r="E143" s="4" t="inlineStr">
        <is>
          <t>O imóvel tem condições de habitabilidade?</t>
        </is>
      </c>
      <c r="F143" s="5" t="n"/>
      <c r="G143" s="6" t="n"/>
      <c r="H143" s="7" t="n"/>
    </row>
    <row r="144">
      <c r="E144" s="4" t="inlineStr">
        <is>
          <t>Fatores valorizantes:</t>
        </is>
      </c>
      <c r="F144" s="5" t="n"/>
      <c r="G144" s="6" t="n"/>
      <c r="H144" s="6" t="n"/>
      <c r="I144" s="6" t="n"/>
      <c r="J144" s="6" t="n"/>
      <c r="K144" s="6" t="n"/>
      <c r="L144" s="7" t="n"/>
    </row>
    <row r="145">
      <c r="E145" s="4" t="inlineStr">
        <is>
          <t>Fatores desvalorizantes:</t>
        </is>
      </c>
      <c r="F145" s="5" t="n"/>
      <c r="G145" s="6" t="n"/>
      <c r="H145" s="6" t="n"/>
      <c r="I145" s="6" t="n"/>
      <c r="J145" s="6" t="n"/>
      <c r="K145" s="6" t="n"/>
      <c r="L145" s="7" t="n"/>
    </row>
    <row r="147">
      <c r="E147" s="4" t="inlineStr">
        <is>
          <t>Foi verificado risco ambiental?</t>
        </is>
      </c>
      <c r="F147" s="5" t="n"/>
      <c r="G147" s="6" t="n"/>
      <c r="H147" s="7" t="n"/>
    </row>
    <row r="148">
      <c r="E148" s="4" t="inlineStr">
        <is>
          <t>Imóvel em construção?</t>
        </is>
      </c>
      <c r="F148" s="5" t="n"/>
      <c r="G148" s="6" t="n"/>
      <c r="H148" s="7" t="n"/>
    </row>
    <row r="153">
      <c r="E153" s="14" t="inlineStr">
        <is>
          <t>CARACTERÍSTICAS DO PRÉDIO (apartamento)</t>
        </is>
      </c>
    </row>
    <row r="155">
      <c r="E155" s="4" t="inlineStr">
        <is>
          <t>Uso do prédio:</t>
        </is>
      </c>
      <c r="F155" s="5" t="n"/>
      <c r="G155" s="6" t="n"/>
      <c r="H155" s="7" t="n"/>
    </row>
    <row r="156">
      <c r="E156" s="4" t="inlineStr">
        <is>
          <t>Qtde. de pavimentos:</t>
        </is>
      </c>
      <c r="F156" s="11" t="n"/>
    </row>
    <row r="157">
      <c r="E157" s="4" t="inlineStr">
        <is>
          <t>Qtde. de subsolos:</t>
        </is>
      </c>
      <c r="F157" s="11" t="n"/>
    </row>
    <row r="158">
      <c r="E158" s="4" t="inlineStr">
        <is>
          <t>Unidades por andar:</t>
        </is>
      </c>
      <c r="F158" s="11" t="n"/>
    </row>
    <row r="159">
      <c r="E159" s="4" t="inlineStr">
        <is>
          <t>Qtde. de elevadores:</t>
        </is>
      </c>
      <c r="F159" s="11" t="n"/>
    </row>
    <row r="160">
      <c r="E160" s="4" t="inlineStr">
        <is>
          <t>Conservação do prédio:</t>
        </is>
      </c>
      <c r="F160" s="5" t="n"/>
      <c r="G160" s="6" t="n"/>
      <c r="H160" s="7" t="n"/>
    </row>
    <row r="161">
      <c r="E161" s="4" t="inlineStr">
        <is>
          <t>Piscina:</t>
        </is>
      </c>
      <c r="F161" s="11" t="n"/>
    </row>
    <row r="162">
      <c r="E162" s="4" t="inlineStr">
        <is>
          <t>Playground:</t>
        </is>
      </c>
      <c r="F162" s="11" t="n"/>
    </row>
    <row r="163">
      <c r="E163" s="4" t="inlineStr">
        <is>
          <t>Salão de festas:</t>
        </is>
      </c>
      <c r="F163" s="11" t="n"/>
    </row>
    <row r="164">
      <c r="E164" s="4" t="inlineStr">
        <is>
          <t>Quadra:</t>
        </is>
      </c>
      <c r="F164" s="11" t="n"/>
    </row>
    <row r="165">
      <c r="E165" s="4" t="inlineStr">
        <is>
          <t>Churrasqueira:</t>
        </is>
      </c>
      <c r="F165" s="11" t="n"/>
    </row>
    <row r="166">
      <c r="E166" s="4" t="inlineStr">
        <is>
          <t>Gerador:</t>
        </is>
      </c>
      <c r="F166" s="11" t="n"/>
    </row>
    <row r="167">
      <c r="E167" s="4" t="inlineStr">
        <is>
          <t>Conservação do condomínio:</t>
        </is>
      </c>
      <c r="F167" s="5" t="n"/>
      <c r="G167" s="6" t="n"/>
      <c r="H167" s="7" t="n"/>
    </row>
  </sheetData>
  <mergeCells count="50">
    <mergeCell ref="F160:H160"/>
    <mergeCell ref="G112:I112"/>
    <mergeCell ref="I86:J86"/>
    <mergeCell ref="F19:G19"/>
    <mergeCell ref="F63:G63"/>
    <mergeCell ref="I89:J89"/>
    <mergeCell ref="F8:H8"/>
    <mergeCell ref="F60:L60"/>
    <mergeCell ref="G108:I108"/>
    <mergeCell ref="F14:L14"/>
    <mergeCell ref="G114:I114"/>
    <mergeCell ref="F155:H155"/>
    <mergeCell ref="F20:G20"/>
    <mergeCell ref="G110:I110"/>
    <mergeCell ref="F4:L4"/>
    <mergeCell ref="J75:L75"/>
    <mergeCell ref="C1:P1"/>
    <mergeCell ref="F11:L11"/>
    <mergeCell ref="F58:H58"/>
    <mergeCell ref="F167:H167"/>
    <mergeCell ref="F9:H9"/>
    <mergeCell ref="F16:L16"/>
    <mergeCell ref="F17:G17"/>
    <mergeCell ref="F6:L6"/>
    <mergeCell ref="J71:L71"/>
    <mergeCell ref="I92:J92"/>
    <mergeCell ref="F57:H57"/>
    <mergeCell ref="G106:I106"/>
    <mergeCell ref="F148:H148"/>
    <mergeCell ref="J137:K137"/>
    <mergeCell ref="F64:H64"/>
    <mergeCell ref="F15:L15"/>
    <mergeCell ref="F147:H147"/>
    <mergeCell ref="J73:L73"/>
    <mergeCell ref="G12:L12"/>
    <mergeCell ref="I83:J83"/>
    <mergeCell ref="F65:H65"/>
    <mergeCell ref="F61:G61"/>
    <mergeCell ref="F10:H10"/>
    <mergeCell ref="F36:L36"/>
    <mergeCell ref="F145:L145"/>
    <mergeCell ref="J133:K133"/>
    <mergeCell ref="J139:K139"/>
    <mergeCell ref="J135:K135"/>
    <mergeCell ref="F144:L144"/>
    <mergeCell ref="F143:H143"/>
    <mergeCell ref="F62:L62"/>
    <mergeCell ref="F7:H7"/>
    <mergeCell ref="F59:H59"/>
    <mergeCell ref="J77:L77"/>
  </mergeCells>
  <dataValidations count="6">
    <dataValidation sqref="F57 F58" showDropDown="0" showInputMessage="0" showErrorMessage="0" allowBlank="1" type="list">
      <formula1>"BOM,REGULAR,RUIM"</formula1>
    </dataValidation>
    <dataValidation sqref="F59" showDropDown="0" showInputMessage="0" showErrorMessage="0" allowBlank="1" type="list">
      <formula1>"OCUPADO,DESOCUPADO"</formula1>
    </dataValidation>
    <dataValidation sqref="F38" showDropDown="0" showInputMessage="0" showErrorMessage="0" allowBlank="1" type="list">
      <formula1>"SIM,NÃO "</formula1>
    </dataValidation>
    <dataValidation sqref="F143" showDropDown="0" showInputMessage="0" showErrorMessage="0" allowBlank="1" type="list">
      <formula1>"SIM ,NÃO ,NÃO SE APLICA"</formula1>
    </dataValidation>
    <dataValidation sqref="E110 J75" showDropDown="0" showInputMessage="0" showErrorMessage="0" allowBlank="1" type="list">
      <formula1>"ALTO,NORMAL,BAIXO,MINIMO"</formula1>
    </dataValidation>
    <dataValidation sqref="F155 G112 J73" showDropDown="0" showInputMessage="0" showErrorMessage="0" allowBlank="1" type="list">
      <formula1>"RESIDENCIAL,COMERCIAL,MISTO,INDUSTRIAL"</formula1>
    </dataValidation>
  </dataValidations>
  <pageMargins left="0.51" right="0.51" top="0.79" bottom="0.79" header="0.5" footer="0.5"/>
  <pageSetup orientation="portrait" paperSize="9" scale="40"/>
  <rowBreaks count="3" manualBreakCount="3">
    <brk id="65" min="0" max="16383" man="1"/>
    <brk id="132" min="0" max="16383" man="1"/>
    <brk id="14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cols>
    <col width="12.57" customWidth="1" min="1" max="1"/>
    <col width="9.140000000000001" customWidth="1" min="2" max="2"/>
    <col width="9.140000000000001" customWidth="1" min="3" max="3"/>
    <col width="9.140000000000001" customWidth="1" min="4" max="4"/>
    <col width="9.140000000000001" customWidth="1" min="5" max="5"/>
    <col width="9.140000000000001" customWidth="1" min="6" max="6"/>
    <col width="9.140000000000001" customWidth="1" min="7" max="7"/>
    <col width="9.140000000000001" customWidth="1" min="8" max="8"/>
    <col width="9.140000000000001" customWidth="1" min="9" max="9"/>
    <col width="9.140000000000001" customWidth="1" min="10" max="10"/>
    <col width="9.140000000000001" customWidth="1" min="11" max="11"/>
  </cols>
  <sheetData>
    <row r="1" ht="15" customHeight="1">
      <c r="A1" s="24" t="inlineStr">
        <is>
          <t>Logo</t>
        </is>
      </c>
      <c r="C1" s="25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7" t="n"/>
    </row>
    <row r="2" ht="15" customHeight="1">
      <c r="C2" s="28" t="n"/>
      <c r="D2" s="29" t="n"/>
      <c r="E2" s="29" t="n"/>
      <c r="F2" s="29" t="n"/>
      <c r="G2" s="29" t="n"/>
      <c r="H2" s="29" t="n"/>
      <c r="I2" s="29" t="n"/>
      <c r="J2" s="29" t="n"/>
      <c r="K2" s="30" t="n"/>
    </row>
    <row r="3" ht="6.95" customHeight="1"/>
    <row r="4" ht="15" customHeight="1">
      <c r="A4" s="4" t="inlineStr">
        <is>
          <t>Junção:</t>
        </is>
      </c>
      <c r="B4">
        <f>+FORMULARIO!F5</f>
        <v/>
      </c>
      <c r="C4">
        <f>+FORMULARIO!F6</f>
        <v/>
      </c>
      <c r="F4" s="4" t="inlineStr">
        <is>
          <t>Protocolo:</t>
        </is>
      </c>
      <c r="H4">
        <f>+FORMULARIO!F7</f>
        <v/>
      </c>
      <c r="J4" s="4" t="inlineStr">
        <is>
          <t>Nº laudo:</t>
        </is>
      </c>
      <c r="K4">
        <f>+FORMULARIO!F8</f>
        <v/>
      </c>
    </row>
    <row r="5" ht="60" customHeight="1">
      <c r="A5" s="31">
        <f>IF(COUNTIF(FORMULARIO!G22:G33,"X")+COUNTIF(FORMULARIO!M22:M33,"X")&gt;0,R5,"")</f>
        <v/>
      </c>
      <c r="R5" t="inlineStr">
        <is>
          <t>VIDE CARTA COM PARECER DO BANCO D 
(conforme normativo interno)</t>
        </is>
      </c>
    </row>
    <row r="6" ht="15" customHeight="1">
      <c r="A6" s="32" t="inlineStr">
        <is>
          <t>Foto do imóvel</t>
        </is>
      </c>
      <c r="B6" s="33" t="n"/>
      <c r="C6" s="33" t="n"/>
      <c r="D6" s="33" t="n"/>
      <c r="E6" s="33" t="n"/>
      <c r="F6" s="34" t="n"/>
      <c r="G6" s="32" t="inlineStr">
        <is>
          <t>Foto Logradouro</t>
        </is>
      </c>
      <c r="H6" s="33" t="n"/>
      <c r="I6" s="33" t="n"/>
      <c r="J6" s="33" t="n"/>
      <c r="K6" s="34" t="n"/>
    </row>
    <row r="7" ht="15" customHeight="1">
      <c r="A7" s="35" t="n"/>
      <c r="B7" s="36" t="n"/>
      <c r="C7" s="36" t="n"/>
      <c r="D7" s="36" t="n"/>
      <c r="E7" s="36" t="n"/>
      <c r="F7" s="37" t="n"/>
      <c r="G7" s="35" t="n"/>
      <c r="H7" s="36" t="n"/>
      <c r="I7" s="36" t="n"/>
      <c r="J7" s="36" t="n"/>
      <c r="K7" s="37" t="n"/>
    </row>
    <row r="8" ht="15" customHeight="1">
      <c r="A8" s="35" t="n"/>
      <c r="B8" s="36" t="n"/>
      <c r="C8" s="36" t="n"/>
      <c r="D8" s="36" t="n"/>
      <c r="E8" s="36" t="n"/>
      <c r="F8" s="37" t="n"/>
      <c r="G8" s="35" t="n"/>
      <c r="H8" s="36" t="n"/>
      <c r="I8" s="36" t="n"/>
      <c r="J8" s="36" t="n"/>
      <c r="K8" s="37" t="n"/>
    </row>
    <row r="9" ht="15" customHeight="1">
      <c r="A9" s="35" t="n"/>
      <c r="B9" s="36" t="n"/>
      <c r="C9" s="36" t="n"/>
      <c r="D9" s="36" t="n"/>
      <c r="E9" s="36" t="n"/>
      <c r="F9" s="37" t="n"/>
      <c r="G9" s="35" t="n"/>
      <c r="H9" s="36" t="n"/>
      <c r="I9" s="36" t="n"/>
      <c r="J9" s="36" t="n"/>
      <c r="K9" s="37" t="n"/>
    </row>
    <row r="10" ht="15" customHeight="1">
      <c r="A10" s="35" t="n"/>
      <c r="B10" s="36" t="n"/>
      <c r="C10" s="36" t="n"/>
      <c r="D10" s="36" t="n"/>
      <c r="E10" s="36" t="n"/>
      <c r="F10" s="37" t="n"/>
      <c r="G10" s="35" t="n"/>
      <c r="H10" s="36" t="n"/>
      <c r="I10" s="36" t="n"/>
      <c r="J10" s="36" t="n"/>
      <c r="K10" s="37" t="n"/>
    </row>
    <row r="11" ht="15" customHeight="1">
      <c r="A11" s="35" t="n"/>
      <c r="B11" s="36" t="n"/>
      <c r="C11" s="36" t="n"/>
      <c r="D11" s="36" t="n"/>
      <c r="E11" s="36" t="n"/>
      <c r="F11" s="37" t="n"/>
      <c r="G11" s="35" t="n"/>
      <c r="H11" s="36" t="n"/>
      <c r="I11" s="36" t="n"/>
      <c r="J11" s="36" t="n"/>
      <c r="K11" s="37" t="n"/>
    </row>
    <row r="12" ht="15" customHeight="1">
      <c r="A12" s="35" t="n"/>
      <c r="B12" s="36" t="n"/>
      <c r="C12" s="36" t="n"/>
      <c r="D12" s="36" t="n"/>
      <c r="E12" s="36" t="n"/>
      <c r="F12" s="37" t="n"/>
      <c r="G12" s="35" t="n"/>
      <c r="H12" s="36" t="n"/>
      <c r="I12" s="36" t="n"/>
      <c r="J12" s="36" t="n"/>
      <c r="K12" s="37" t="n"/>
    </row>
    <row r="13" ht="15" customHeight="1">
      <c r="A13" s="35" t="n"/>
      <c r="B13" s="36" t="n"/>
      <c r="C13" s="36" t="n"/>
      <c r="D13" s="36" t="n"/>
      <c r="E13" s="36" t="n"/>
      <c r="F13" s="37" t="n"/>
      <c r="G13" s="35" t="n"/>
      <c r="H13" s="36" t="n"/>
      <c r="I13" s="36" t="n"/>
      <c r="J13" s="36" t="n"/>
      <c r="K13" s="37" t="n"/>
    </row>
    <row r="14" ht="15" customHeight="1">
      <c r="A14" s="35" t="n"/>
      <c r="B14" s="36" t="n"/>
      <c r="C14" s="36" t="n"/>
      <c r="D14" s="36" t="n"/>
      <c r="E14" s="36" t="n"/>
      <c r="F14" s="37" t="n"/>
      <c r="G14" s="35" t="n"/>
      <c r="H14" s="36" t="n"/>
      <c r="I14" s="36" t="n"/>
      <c r="J14" s="36" t="n"/>
      <c r="K14" s="37" t="n"/>
    </row>
    <row r="15" ht="15" customHeight="1">
      <c r="A15" s="35" t="n"/>
      <c r="B15" s="36" t="n"/>
      <c r="C15" s="36" t="n"/>
      <c r="D15" s="36" t="n"/>
      <c r="E15" s="36" t="n"/>
      <c r="F15" s="37" t="n"/>
      <c r="G15" s="35" t="n"/>
      <c r="H15" s="36" t="n"/>
      <c r="I15" s="36" t="n"/>
      <c r="J15" s="36" t="n"/>
      <c r="K15" s="37" t="n"/>
    </row>
    <row r="16" ht="15" customHeight="1">
      <c r="A16" s="35" t="n"/>
      <c r="B16" s="36" t="n"/>
      <c r="C16" s="36" t="n"/>
      <c r="D16" s="36" t="n"/>
      <c r="E16" s="36" t="n"/>
      <c r="F16" s="37" t="n"/>
      <c r="G16" s="38" t="n"/>
      <c r="H16" s="39" t="n"/>
      <c r="I16" s="39" t="n"/>
      <c r="J16" s="39" t="n"/>
      <c r="K16" s="40" t="n"/>
    </row>
    <row r="17" ht="15" customHeight="1">
      <c r="A17" s="35" t="n"/>
      <c r="B17" s="36" t="n"/>
      <c r="C17" s="36" t="n"/>
      <c r="D17" s="36" t="n"/>
      <c r="E17" s="36" t="n"/>
      <c r="F17" s="37" t="n"/>
      <c r="G17" s="32" t="inlineStr">
        <is>
          <t>Foto nº imóvel</t>
        </is>
      </c>
      <c r="H17" s="33" t="n"/>
      <c r="I17" s="33" t="n"/>
      <c r="J17" s="34" t="n"/>
    </row>
    <row r="18" ht="15" customHeight="1">
      <c r="A18" s="35" t="n"/>
      <c r="B18" s="36" t="n"/>
      <c r="C18" s="36" t="n"/>
      <c r="D18" s="36" t="n"/>
      <c r="E18" s="36" t="n"/>
      <c r="F18" s="37" t="n"/>
      <c r="G18" s="35" t="n"/>
      <c r="H18" s="36" t="n"/>
      <c r="I18" s="36" t="n"/>
      <c r="J18" s="37" t="n"/>
    </row>
    <row r="19" ht="15" customHeight="1">
      <c r="A19" s="35" t="n"/>
      <c r="B19" s="36" t="n"/>
      <c r="C19" s="36" t="n"/>
      <c r="D19" s="36" t="n"/>
      <c r="E19" s="36" t="n"/>
      <c r="F19" s="37" t="n"/>
      <c r="G19" s="35" t="n"/>
      <c r="H19" s="36" t="n"/>
      <c r="I19" s="36" t="n"/>
      <c r="J19" s="37" t="n"/>
    </row>
    <row r="20" ht="15" customHeight="1">
      <c r="A20" s="35" t="n"/>
      <c r="B20" s="36" t="n"/>
      <c r="C20" s="36" t="n"/>
      <c r="D20" s="36" t="n"/>
      <c r="E20" s="36" t="n"/>
      <c r="F20" s="37" t="n"/>
      <c r="G20" s="35" t="n"/>
      <c r="H20" s="36" t="n"/>
      <c r="I20" s="36" t="n"/>
      <c r="J20" s="37" t="n"/>
    </row>
    <row r="21" ht="15" customHeight="1">
      <c r="A21" s="38" t="n"/>
      <c r="B21" s="39" t="n"/>
      <c r="C21" s="39" t="n"/>
      <c r="D21" s="39" t="n"/>
      <c r="E21" s="39" t="n"/>
      <c r="F21" s="40" t="n"/>
      <c r="G21" s="38" t="n"/>
      <c r="H21" s="39" t="n"/>
      <c r="I21" s="39" t="n"/>
      <c r="J21" s="40" t="n"/>
    </row>
    <row r="22" ht="6.95" customHeight="1"/>
    <row r="23" ht="15" customHeight="1">
      <c r="A23" s="4" t="inlineStr">
        <is>
          <t>Grupo:</t>
        </is>
      </c>
      <c r="B23">
        <f>+FORMULARIO!F9</f>
        <v/>
      </c>
      <c r="C23" s="4" t="inlineStr">
        <is>
          <t>Cota:</t>
        </is>
      </c>
      <c r="D23">
        <f>+FORMULARIO!F10</f>
        <v/>
      </c>
    </row>
    <row r="24" ht="15" customHeight="1">
      <c r="A24" s="4" t="inlineStr">
        <is>
          <t>Proponente:</t>
        </is>
      </c>
      <c r="B24">
        <f>+FORMULARIO!F11</f>
        <v/>
      </c>
      <c r="J24" s="4" t="inlineStr">
        <is>
          <t>Recebimento:</t>
        </is>
      </c>
    </row>
    <row r="25" ht="15" customHeight="1">
      <c r="A25" s="4" t="inlineStr">
        <is>
          <t>Endereço:</t>
        </is>
      </c>
      <c r="B25">
        <f>+FORMULARIO!F12&amp;" "&amp;FORMULARIO!G12</f>
        <v/>
      </c>
      <c r="H25" s="4" t="inlineStr">
        <is>
          <t>Nº:</t>
        </is>
      </c>
      <c r="I25">
        <f>+FORMULARIO!F13</f>
        <v/>
      </c>
      <c r="J25" s="41">
        <f>+FORMULARIO!F19</f>
        <v/>
      </c>
    </row>
    <row r="26" ht="15" customHeight="1">
      <c r="A26" s="4" t="inlineStr">
        <is>
          <t>Compl.:</t>
        </is>
      </c>
      <c r="B26">
        <f>+FORMULARIO!F14</f>
        <v/>
      </c>
      <c r="D26" s="4" t="inlineStr">
        <is>
          <t>Bairro:</t>
        </is>
      </c>
      <c r="E26">
        <f>+FORMULARIO!F15</f>
        <v/>
      </c>
      <c r="J26" s="4" t="inlineStr">
        <is>
          <t>Data da visita:</t>
        </is>
      </c>
    </row>
    <row r="27" ht="15" customHeight="1">
      <c r="A27" s="4" t="inlineStr">
        <is>
          <t>Cidade:</t>
        </is>
      </c>
      <c r="B27">
        <f>+FORMULARIO!F16</f>
        <v/>
      </c>
      <c r="E27" s="4" t="inlineStr">
        <is>
          <t>CEP:</t>
        </is>
      </c>
      <c r="F27" s="42">
        <f>+FORMULARIO!F17</f>
        <v/>
      </c>
      <c r="H27" s="4" t="inlineStr">
        <is>
          <t>UF:</t>
        </is>
      </c>
      <c r="I27">
        <f>+FORMULARIO!F18</f>
        <v/>
      </c>
      <c r="J27" s="41">
        <f>+FORMULARIO!F20</f>
        <v/>
      </c>
    </row>
    <row r="28" ht="21" customHeight="1">
      <c r="A28" s="43" t="inlineStr">
        <is>
          <t>Tipo de operação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3" t="n"/>
    </row>
    <row r="29" ht="27.75" customHeight="1">
      <c r="A29" s="44">
        <f>+FORMULARIO!F36</f>
        <v/>
      </c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6" t="n"/>
    </row>
    <row r="30" ht="6.95" customHeight="1"/>
    <row r="31" ht="21" customHeight="1">
      <c r="A31" s="43" t="inlineStr">
        <is>
          <t>Valor de Liquidez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3" t="n"/>
    </row>
    <row r="32" ht="34.5" customHeight="1">
      <c r="A32" s="47">
        <f>+IF(A31="Valor de Mercado",FORMULARIO!J133,FORMULARIO!J135)</f>
        <v/>
      </c>
      <c r="B32" s="45" t="n"/>
      <c r="C32" s="45" t="n"/>
      <c r="D32" s="46" t="n"/>
      <c r="E32" s="4" t="inlineStr">
        <is>
          <t>(valor por extenso)</t>
        </is>
      </c>
    </row>
    <row r="33" ht="6.95" customHeight="1"/>
    <row r="34" ht="9.949999999999999" customHeight="1">
      <c r="C34" s="14" t="inlineStr">
        <is>
          <t>CNS Cartório</t>
        </is>
      </c>
      <c r="D34" s="14" t="inlineStr">
        <is>
          <t>Livro</t>
        </is>
      </c>
      <c r="E34" s="14" t="inlineStr">
        <is>
          <t>Nº Matrícula</t>
        </is>
      </c>
      <c r="F34" s="14" t="inlineStr">
        <is>
          <t>Dígito</t>
        </is>
      </c>
    </row>
    <row r="35" ht="19.5" customHeight="1">
      <c r="A35" s="4" t="inlineStr">
        <is>
          <t>Matrícula:</t>
        </is>
      </c>
      <c r="C35">
        <f>FORMULARIO!F34</f>
        <v/>
      </c>
      <c r="D35">
        <f>FORMULARIO!H34</f>
        <v/>
      </c>
      <c r="E35">
        <f>FORMULARIO!J34</f>
        <v/>
      </c>
      <c r="F35">
        <f>FORMULARIO!L34</f>
        <v/>
      </c>
    </row>
    <row r="36" ht="6.95" customHeight="1"/>
    <row r="37" ht="15" customHeight="1">
      <c r="A37" s="43" t="inlineStr">
        <is>
          <t>Áreas (m²)</t>
        </is>
      </c>
      <c r="B37" s="2" t="n"/>
      <c r="C37" s="2" t="n"/>
      <c r="D37" s="2" t="n"/>
      <c r="E37" s="2" t="n"/>
      <c r="F37" s="3" t="n"/>
      <c r="G37" s="43" t="inlineStr">
        <is>
          <t>Geral</t>
        </is>
      </c>
      <c r="H37" s="2" t="n"/>
      <c r="I37" s="2" t="n"/>
      <c r="J37" s="2" t="n"/>
      <c r="K37" s="3" t="n"/>
    </row>
    <row r="38" ht="15" customHeight="1">
      <c r="A38" s="4" t="inlineStr">
        <is>
          <t>Terreno:</t>
        </is>
      </c>
      <c r="B38" s="48">
        <f>+FORMULARIO!F42</f>
        <v/>
      </c>
      <c r="G38" s="4" t="inlineStr">
        <is>
          <t>Tipo do imóvel:</t>
        </is>
      </c>
      <c r="J38">
        <f>FORMULARIO!E106</f>
        <v/>
      </c>
    </row>
    <row r="39" ht="15" customHeight="1">
      <c r="A39" s="4" t="inlineStr">
        <is>
          <t>Construída:</t>
        </is>
      </c>
      <c r="B39" s="48">
        <f>+FORMULARIO!F43</f>
        <v/>
      </c>
      <c r="G39" s="4" t="inlineStr">
        <is>
          <t>Idade aparente:</t>
        </is>
      </c>
      <c r="J39">
        <f>FORMULARIO!E114</f>
        <v/>
      </c>
    </row>
    <row r="40" ht="15" customHeight="1">
      <c r="A40" s="4" t="inlineStr">
        <is>
          <t>Comum:</t>
        </is>
      </c>
      <c r="B40" s="48">
        <f>+FORMULARIO!F44</f>
        <v/>
      </c>
      <c r="G40" s="4" t="inlineStr">
        <is>
          <t>Quartos:</t>
        </is>
      </c>
      <c r="J40">
        <f>+SUM(FORMULARIO!H118:H119)</f>
        <v/>
      </c>
    </row>
    <row r="41" ht="15" customHeight="1">
      <c r="A41" s="4" t="inlineStr">
        <is>
          <t>Total:</t>
        </is>
      </c>
      <c r="B41" s="48">
        <f>+FORMULARIO!F47</f>
        <v/>
      </c>
      <c r="G41" s="4" t="inlineStr">
        <is>
          <t>Comercialização:</t>
        </is>
      </c>
      <c r="J41">
        <f>FORMULARIO!F57</f>
        <v/>
      </c>
    </row>
    <row r="42" ht="15" customHeight="1">
      <c r="A42" s="4" t="inlineStr">
        <is>
          <t>Fração ideal:</t>
        </is>
      </c>
      <c r="B42" s="48">
        <f>+FORMULARIO!F48</f>
        <v/>
      </c>
      <c r="G42" s="4" t="inlineStr">
        <is>
          <t>Ocupação:</t>
        </is>
      </c>
      <c r="J42">
        <f>+FORMULARIO!F59</f>
        <v/>
      </c>
    </row>
    <row r="43" ht="15" customHeight="1">
      <c r="A43" s="4" t="inlineStr">
        <is>
          <t>Sem averbação:</t>
        </is>
      </c>
      <c r="B43" s="48">
        <f>+FORMULARIO!I48</f>
        <v/>
      </c>
      <c r="G43" s="4" t="inlineStr">
        <is>
          <t>Uso comercial?</t>
        </is>
      </c>
      <c r="J43">
        <f>FORMULARIO!F65</f>
        <v/>
      </c>
    </row>
    <row r="44" ht="15" customHeight="1"/>
    <row r="45" ht="15" customHeight="1"/>
    <row r="46" ht="15" customHeight="1"/>
    <row r="47" ht="15" customHeight="1">
      <c r="A47" s="43" t="inlineStr">
        <is>
          <t>Vagas de garagem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3" t="n"/>
    </row>
    <row r="48" ht="15" customHeight="1">
      <c r="A48" s="4" t="inlineStr">
        <is>
          <t>Qtde. de vagas:</t>
        </is>
      </c>
      <c r="C48">
        <f>+FORMULARIO!F37</f>
        <v/>
      </c>
    </row>
    <row r="49" ht="15" customHeight="1">
      <c r="A49" s="4" t="inlineStr">
        <is>
          <t>Possui vagas?</t>
        </is>
      </c>
      <c r="C49">
        <f>+FORMULARIO!F38</f>
        <v/>
      </c>
    </row>
    <row r="50" ht="6.95" customHeight="1"/>
    <row r="51" ht="15" customHeight="1">
      <c r="A51" s="43" t="inlineStr">
        <is>
          <t>Comentários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3" t="n"/>
    </row>
    <row r="52" ht="15" customHeight="1">
      <c r="A52" s="49">
        <f>+FORMULARIO!F60</f>
        <v/>
      </c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  <c r="K52" s="51" t="n"/>
    </row>
    <row r="53" ht="15" customHeight="1">
      <c r="A53" s="52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4" t="n"/>
    </row>
    <row r="54" ht="15" customHeight="1">
      <c r="A54" s="52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4" t="n"/>
    </row>
    <row r="55" ht="15" customHeight="1">
      <c r="A55" s="52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4" t="n"/>
    </row>
    <row r="56" ht="15" customHeight="1">
      <c r="A56" s="52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4" t="n"/>
    </row>
    <row r="57" ht="15" customHeight="1">
      <c r="A57" s="52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4" t="n"/>
    </row>
    <row r="58" ht="15" customHeight="1">
      <c r="A58" s="52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4" t="n"/>
    </row>
    <row r="59" ht="15" customHeight="1">
      <c r="A59" s="52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4" t="n"/>
    </row>
    <row r="60" ht="15" customHeight="1">
      <c r="A60" s="52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4" t="n"/>
    </row>
    <row r="61" ht="15" customHeight="1">
      <c r="A61" s="52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4" t="n"/>
    </row>
    <row r="62" ht="15" customHeight="1">
      <c r="A62" s="52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4" t="n"/>
    </row>
    <row r="63" ht="15" customHeight="1">
      <c r="A63" s="52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4" t="n"/>
    </row>
    <row r="64" ht="15" customHeight="1">
      <c r="A64" s="55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7" t="n"/>
    </row>
    <row r="65" ht="15" customHeight="1">
      <c r="A65" s="4" t="inlineStr">
        <is>
          <t>Vistoriador:</t>
        </is>
      </c>
      <c r="B65">
        <f>+FORMULARIO!E135</f>
        <v/>
      </c>
      <c r="F65" s="4" t="inlineStr">
        <is>
          <t>Data:</t>
        </is>
      </c>
      <c r="G65" s="41">
        <f>+FORMULARIO!E137</f>
        <v/>
      </c>
    </row>
    <row r="66" ht="15" customHeight="1">
      <c r="A66" s="4" t="inlineStr">
        <is>
          <t>CREA/CAU:</t>
        </is>
      </c>
      <c r="B66">
        <f>+FORMULARIO!E136</f>
        <v/>
      </c>
      <c r="F66" s="4" t="inlineStr">
        <is>
          <t>Hora:</t>
        </is>
      </c>
      <c r="G66" s="58">
        <f>+FORMULARIO!E138</f>
        <v/>
      </c>
    </row>
    <row r="67" ht="29.25" customHeight="1">
      <c r="A67" s="4" t="inlineStr">
        <is>
          <t>Local:</t>
        </is>
      </c>
      <c r="B67">
        <f>+FORMULARIO!F64</f>
        <v/>
      </c>
      <c r="F67" s="59" t="n"/>
      <c r="G67" s="51" t="n"/>
      <c r="H67" s="4" t="inlineStr">
        <is>
          <t>Engº.:</t>
        </is>
      </c>
      <c r="I67">
        <f>+FORMULARIO!F62</f>
        <v/>
      </c>
    </row>
    <row r="68" ht="29.25" customHeight="1">
      <c r="A68" s="4" t="inlineStr">
        <is>
          <t>Data do laudo:</t>
        </is>
      </c>
      <c r="B68" s="41">
        <f>+FORMULARIO!F61</f>
        <v/>
      </c>
      <c r="F68" s="55" t="n"/>
      <c r="G68" s="57" t="n"/>
      <c r="H68" s="4" t="inlineStr">
        <is>
          <t>CREA:</t>
        </is>
      </c>
      <c r="I68">
        <f>+FORMULARIO!F63</f>
        <v/>
      </c>
    </row>
  </sheetData>
  <mergeCells count="16">
    <mergeCell ref="A6:F21"/>
    <mergeCell ref="C1:K2"/>
    <mergeCell ref="A52:K64"/>
    <mergeCell ref="G6:K16"/>
    <mergeCell ref="A29:K29"/>
    <mergeCell ref="A37:F37"/>
    <mergeCell ref="A51:K51"/>
    <mergeCell ref="G17:J21"/>
    <mergeCell ref="A47:K47"/>
    <mergeCell ref="A28:K28"/>
    <mergeCell ref="G37:K37"/>
    <mergeCell ref="F67:G68"/>
    <mergeCell ref="A1:B2"/>
    <mergeCell ref="A5:K5"/>
    <mergeCell ref="A32:D32"/>
    <mergeCell ref="A31:K31"/>
  </mergeCells>
  <printOptions horizontalCentered="1"/>
  <pageMargins left="0.51" right="0.51" top="0.79" bottom="0.79" header="0.5" footer="0.5"/>
  <pageSetup orientation="portrait" paperSize="9" scale="6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1.14" customWidth="1" min="1" max="1"/>
  </cols>
  <sheetData>
    <row r="1">
      <c r="A1" s="24" t="inlineStr">
        <is>
          <t>Logo</t>
        </is>
      </c>
      <c r="C1" s="60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6">
      <c r="A6" s="43" t="inlineStr">
        <is>
          <t>Características da região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</row>
    <row r="8">
      <c r="A8" s="4" t="inlineStr">
        <is>
          <t>Coleta de lixo:</t>
        </is>
      </c>
      <c r="C8">
        <f>+FORMULARIO!F71</f>
        <v/>
      </c>
      <c r="E8">
        <f>+FORMULARIO!G71</f>
        <v/>
      </c>
      <c r="G8">
        <f>+FORMULARIO!H71</f>
        <v/>
      </c>
    </row>
    <row r="9">
      <c r="A9" s="4" t="inlineStr">
        <is>
          <t>Transporte coletivo:</t>
        </is>
      </c>
      <c r="C9">
        <f>+FORMULARIO!F72</f>
        <v/>
      </c>
      <c r="E9">
        <f>+FORMULARIO!G72</f>
        <v/>
      </c>
      <c r="G9">
        <f>+FORMULARIO!H72</f>
        <v/>
      </c>
    </row>
    <row r="10">
      <c r="A10" s="4" t="inlineStr">
        <is>
          <t>Comércio:</t>
        </is>
      </c>
      <c r="C10">
        <f>+FORMULARIO!F73</f>
        <v/>
      </c>
      <c r="E10">
        <f>+FORMULARIO!G73</f>
        <v/>
      </c>
      <c r="G10">
        <f>+FORMULARIO!H73</f>
        <v/>
      </c>
    </row>
    <row r="11">
      <c r="A11" s="4" t="inlineStr">
        <is>
          <t>Rede bancária:</t>
        </is>
      </c>
      <c r="C11">
        <f>+FORMULARIO!F74</f>
        <v/>
      </c>
      <c r="E11">
        <f>+FORMULARIO!G74</f>
        <v/>
      </c>
      <c r="G11">
        <f>+FORMULARIO!H74</f>
        <v/>
      </c>
    </row>
    <row r="12">
      <c r="A12" s="4" t="inlineStr">
        <is>
          <t>Escola:</t>
        </is>
      </c>
      <c r="C12">
        <f>+FORMULARIO!F75</f>
        <v/>
      </c>
      <c r="E12">
        <f>+FORMULARIO!G75</f>
        <v/>
      </c>
      <c r="G12">
        <f>+FORMULARIO!H75</f>
        <v/>
      </c>
    </row>
    <row r="13">
      <c r="A13" s="4" t="inlineStr">
        <is>
          <t>Saúde:</t>
        </is>
      </c>
      <c r="C13">
        <f>+FORMULARIO!F76</f>
        <v/>
      </c>
      <c r="E13">
        <f>+FORMULARIO!G76</f>
        <v/>
      </c>
      <c r="G13">
        <f>+FORMULARIO!H76</f>
        <v/>
      </c>
    </row>
    <row r="14">
      <c r="A14" s="4" t="inlineStr">
        <is>
          <t>Segurança:</t>
        </is>
      </c>
      <c r="C14">
        <f>+FORMULARIO!F77</f>
        <v/>
      </c>
      <c r="E14">
        <f>+FORMULARIO!G77</f>
        <v/>
      </c>
      <c r="G14">
        <f>+FORMULARIO!H77</f>
        <v/>
      </c>
    </row>
    <row r="15">
      <c r="A15" s="4" t="inlineStr">
        <is>
          <t>Lazer:</t>
        </is>
      </c>
      <c r="C15">
        <f>+FORMULARIO!F78</f>
        <v/>
      </c>
      <c r="E15">
        <f>+FORMULARIO!G78</f>
        <v/>
      </c>
      <c r="G15">
        <f>+FORMULARIO!H78</f>
        <v/>
      </c>
    </row>
    <row r="18">
      <c r="A18" s="43" t="inlineStr">
        <is>
          <t>Terreno e imóvel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20">
      <c r="A20">
        <f>+FORMULARIO!F83</f>
        <v/>
      </c>
      <c r="B20" s="4" t="inlineStr">
        <is>
          <t>Água</t>
        </is>
      </c>
    </row>
    <row r="21">
      <c r="A21">
        <f>+FORMULARIO!F84</f>
        <v/>
      </c>
      <c r="B21" s="4" t="inlineStr">
        <is>
          <t>Esgoto sanitário</t>
        </is>
      </c>
    </row>
    <row r="22">
      <c r="A22">
        <f>+FORMULARIO!F85</f>
        <v/>
      </c>
      <c r="B22" s="4" t="inlineStr">
        <is>
          <t>Energia elétrica</t>
        </is>
      </c>
    </row>
    <row r="23">
      <c r="A23">
        <f>+FORMULARIO!F86</f>
        <v/>
      </c>
      <c r="B23" s="4" t="inlineStr">
        <is>
          <t>Telefone</t>
        </is>
      </c>
    </row>
    <row r="24">
      <c r="A24">
        <f>+FORMULARIO!F87</f>
        <v/>
      </c>
      <c r="B24" s="4" t="inlineStr">
        <is>
          <t>Pavimentação</t>
        </is>
      </c>
    </row>
    <row r="25">
      <c r="A25">
        <f>+FORMULARIO!F88</f>
        <v/>
      </c>
      <c r="B25" s="4" t="inlineStr">
        <is>
          <t>Arborização</t>
        </is>
      </c>
    </row>
    <row r="26">
      <c r="A26">
        <f>+FORMULARIO!F89</f>
        <v/>
      </c>
      <c r="B26" s="4" t="inlineStr">
        <is>
          <t>Esgoto pluvial</t>
        </is>
      </c>
    </row>
    <row r="27">
      <c r="A27">
        <f>+FORMULARIO!F90</f>
        <v/>
      </c>
      <c r="B27" s="4" t="inlineStr">
        <is>
          <t>Gás canalizado</t>
        </is>
      </c>
    </row>
    <row r="28">
      <c r="A28">
        <f>+FORMULARIO!F91</f>
        <v/>
      </c>
      <c r="B28" s="4" t="inlineStr">
        <is>
          <t>Iluminação pública</t>
        </is>
      </c>
    </row>
    <row r="29">
      <c r="A29">
        <f>+FORMULARIO!F92</f>
        <v/>
      </c>
      <c r="B29" s="4" t="inlineStr">
        <is>
          <t>Fossa</t>
        </is>
      </c>
    </row>
    <row r="30">
      <c r="A30">
        <f>+FORMULARIO!F93</f>
        <v/>
      </c>
      <c r="B30" s="4" t="inlineStr">
        <is>
          <t>Poço</t>
        </is>
      </c>
    </row>
    <row r="35">
      <c r="A35" s="43" t="inlineStr">
        <is>
          <t>Descrição do imóvel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3" t="n"/>
    </row>
    <row r="38">
      <c r="A38" s="14" t="inlineStr">
        <is>
          <t>Compartimento</t>
        </is>
      </c>
      <c r="E38" s="14" t="inlineStr">
        <is>
          <t>Qtde.</t>
        </is>
      </c>
      <c r="F38" s="14" t="inlineStr">
        <is>
          <t>Paredes</t>
        </is>
      </c>
      <c r="H38" s="14" t="inlineStr">
        <is>
          <t>Pisos</t>
        </is>
      </c>
      <c r="I38" s="14" t="inlineStr">
        <is>
          <t>Tetos</t>
        </is>
      </c>
      <c r="K38" s="14" t="inlineStr">
        <is>
          <t>Pintura</t>
        </is>
      </c>
    </row>
    <row r="39">
      <c r="A39">
        <f>+FORMULARIO!E118</f>
        <v/>
      </c>
      <c r="E39">
        <f>+FORMULARIO!H118</f>
        <v/>
      </c>
      <c r="F39">
        <f>+FORMULARIO!I118</f>
        <v/>
      </c>
      <c r="H39">
        <f>+FORMULARIO!J118</f>
        <v/>
      </c>
      <c r="I39">
        <f>+FORMULARIO!K118</f>
        <v/>
      </c>
      <c r="K39">
        <f>+FORMULARIO!L118</f>
        <v/>
      </c>
    </row>
    <row r="40">
      <c r="A40">
        <f>+FORMULARIO!E119</f>
        <v/>
      </c>
      <c r="E40">
        <f>+FORMULARIO!H119</f>
        <v/>
      </c>
      <c r="F40">
        <f>+FORMULARIO!I119</f>
        <v/>
      </c>
      <c r="H40">
        <f>+FORMULARIO!J119</f>
        <v/>
      </c>
      <c r="I40">
        <f>+FORMULARIO!K119</f>
        <v/>
      </c>
      <c r="K40">
        <f>+FORMULARIO!L119</f>
        <v/>
      </c>
    </row>
    <row r="41">
      <c r="A41">
        <f>+FORMULARIO!E120</f>
        <v/>
      </c>
      <c r="E41">
        <f>+FORMULARIO!H120</f>
        <v/>
      </c>
      <c r="F41">
        <f>+FORMULARIO!I120</f>
        <v/>
      </c>
      <c r="H41">
        <f>+FORMULARIO!J120</f>
        <v/>
      </c>
      <c r="I41">
        <f>+FORMULARIO!K120</f>
        <v/>
      </c>
      <c r="K41">
        <f>+FORMULARIO!L120</f>
        <v/>
      </c>
    </row>
    <row r="42">
      <c r="A42">
        <f>+FORMULARIO!E121</f>
        <v/>
      </c>
      <c r="E42">
        <f>+FORMULARIO!H121</f>
        <v/>
      </c>
      <c r="F42">
        <f>+FORMULARIO!I121</f>
        <v/>
      </c>
      <c r="H42">
        <f>+FORMULARIO!J121</f>
        <v/>
      </c>
      <c r="I42">
        <f>+FORMULARIO!K121</f>
        <v/>
      </c>
      <c r="K42">
        <f>+FORMULARIO!L121</f>
        <v/>
      </c>
    </row>
    <row r="43">
      <c r="A43">
        <f>+FORMULARIO!E122</f>
        <v/>
      </c>
      <c r="E43">
        <f>+FORMULARIO!H122</f>
        <v/>
      </c>
      <c r="F43">
        <f>+FORMULARIO!I122</f>
        <v/>
      </c>
      <c r="H43">
        <f>+FORMULARIO!J122</f>
        <v/>
      </c>
      <c r="I43">
        <f>+FORMULARIO!K122</f>
        <v/>
      </c>
      <c r="K43">
        <f>+FORMULARIO!L122</f>
        <v/>
      </c>
    </row>
    <row r="44">
      <c r="A44">
        <f>+FORMULARIO!E123</f>
        <v/>
      </c>
      <c r="E44">
        <f>+FORMULARIO!H123</f>
        <v/>
      </c>
      <c r="F44">
        <f>+FORMULARIO!I123</f>
        <v/>
      </c>
      <c r="H44">
        <f>+FORMULARIO!J123</f>
        <v/>
      </c>
      <c r="I44">
        <f>+FORMULARIO!K123</f>
        <v/>
      </c>
      <c r="K44">
        <f>+FORMULARIO!L123</f>
        <v/>
      </c>
    </row>
    <row r="45">
      <c r="A45">
        <f>+FORMULARIO!E124</f>
        <v/>
      </c>
      <c r="E45">
        <f>+FORMULARIO!H124</f>
        <v/>
      </c>
      <c r="F45">
        <f>+FORMULARIO!I124</f>
        <v/>
      </c>
      <c r="H45">
        <f>+FORMULARIO!J124</f>
        <v/>
      </c>
      <c r="I45">
        <f>+FORMULARIO!K124</f>
        <v/>
      </c>
      <c r="K45">
        <f>+FORMULARIO!L124</f>
        <v/>
      </c>
    </row>
    <row r="46">
      <c r="A46">
        <f>+FORMULARIO!E125</f>
        <v/>
      </c>
      <c r="E46">
        <f>+FORMULARIO!H125</f>
        <v/>
      </c>
      <c r="F46">
        <f>+FORMULARIO!I125</f>
        <v/>
      </c>
      <c r="H46">
        <f>+FORMULARIO!J125</f>
        <v/>
      </c>
      <c r="I46">
        <f>+FORMULARIO!K125</f>
        <v/>
      </c>
      <c r="K46">
        <f>+FORMULARIO!L125</f>
        <v/>
      </c>
    </row>
    <row r="47">
      <c r="A47">
        <f>+FORMULARIO!E126</f>
        <v/>
      </c>
      <c r="E47">
        <f>+FORMULARIO!H126</f>
        <v/>
      </c>
      <c r="F47">
        <f>+FORMULARIO!I126</f>
        <v/>
      </c>
      <c r="H47">
        <f>+FORMULARIO!J126</f>
        <v/>
      </c>
      <c r="I47">
        <f>+FORMULARIO!K126</f>
        <v/>
      </c>
      <c r="K47">
        <f>+FORMULARIO!L126</f>
        <v/>
      </c>
    </row>
    <row r="48">
      <c r="A48">
        <f>+FORMULARIO!E127</f>
        <v/>
      </c>
      <c r="E48">
        <f>+FORMULARIO!H127</f>
        <v/>
      </c>
      <c r="F48">
        <f>+FORMULARIO!I127</f>
        <v/>
      </c>
      <c r="H48">
        <f>+FORMULARIO!J127</f>
        <v/>
      </c>
      <c r="I48">
        <f>+FORMULARIO!K127</f>
        <v/>
      </c>
      <c r="K48">
        <f>+FORMULARIO!L127</f>
        <v/>
      </c>
    </row>
    <row r="49">
      <c r="A49">
        <f>+FORMULARIO!E128</f>
        <v/>
      </c>
      <c r="E49">
        <f>+FORMULARIO!H128</f>
        <v/>
      </c>
      <c r="F49">
        <f>+FORMULARIO!I128</f>
        <v/>
      </c>
      <c r="H49">
        <f>+FORMULARIO!J128</f>
        <v/>
      </c>
      <c r="I49">
        <f>+FORMULARIO!K128</f>
        <v/>
      </c>
      <c r="K49">
        <f>+FORMULARIO!L128</f>
        <v/>
      </c>
    </row>
    <row r="50">
      <c r="A50">
        <f>+FORMULARIO!E129</f>
        <v/>
      </c>
      <c r="E50">
        <f>+FORMULARIO!H129</f>
        <v/>
      </c>
      <c r="F50">
        <f>+FORMULARIO!I129</f>
        <v/>
      </c>
      <c r="H50">
        <f>+FORMULARIO!J129</f>
        <v/>
      </c>
      <c r="I50">
        <f>+FORMULARIO!K129</f>
        <v/>
      </c>
      <c r="K50">
        <f>+FORMULARIO!L129</f>
        <v/>
      </c>
    </row>
    <row r="51">
      <c r="A51">
        <f>+FORMULARIO!E130</f>
        <v/>
      </c>
      <c r="E51">
        <f>+FORMULARIO!H130</f>
        <v/>
      </c>
      <c r="F51">
        <f>+FORMULARIO!I130</f>
        <v/>
      </c>
      <c r="H51">
        <f>+FORMULARIO!J130</f>
        <v/>
      </c>
      <c r="I51">
        <f>+FORMULARIO!K130</f>
        <v/>
      </c>
      <c r="K51">
        <f>+FORMULARIO!L130</f>
        <v/>
      </c>
    </row>
    <row r="53">
      <c r="A53" s="43" t="inlineStr">
        <is>
          <t>Características do prédio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3" t="n"/>
    </row>
    <row r="55">
      <c r="H55">
        <f>FORMULARIO!F155</f>
        <v/>
      </c>
    </row>
    <row r="56">
      <c r="H56">
        <f>FORMULARIO!F156</f>
        <v/>
      </c>
    </row>
    <row r="57">
      <c r="H57">
        <f>FORMULARIO!F157</f>
        <v/>
      </c>
    </row>
    <row r="58">
      <c r="H58">
        <f>FORMULARIO!F158</f>
        <v/>
      </c>
    </row>
    <row r="59">
      <c r="H59">
        <f>FORMULARIO!F159</f>
        <v/>
      </c>
    </row>
    <row r="60">
      <c r="H60">
        <f>FORMULARIO!F160</f>
        <v/>
      </c>
    </row>
    <row r="61">
      <c r="H61">
        <f>FORMULARIO!F161</f>
        <v/>
      </c>
    </row>
    <row r="62">
      <c r="H62">
        <f>FORMULARIO!F162</f>
        <v/>
      </c>
    </row>
    <row r="63">
      <c r="H63">
        <f>FORMULARIO!F163</f>
        <v/>
      </c>
    </row>
    <row r="64">
      <c r="H64">
        <f>FORMULARIO!F164</f>
        <v/>
      </c>
    </row>
    <row r="65">
      <c r="H65">
        <f>FORMULARIO!F165</f>
        <v/>
      </c>
    </row>
    <row r="66">
      <c r="H66">
        <f>FORMULARIO!F166</f>
        <v/>
      </c>
    </row>
    <row r="67">
      <c r="H67">
        <f>FORMULARIO!F167</f>
        <v/>
      </c>
    </row>
  </sheetData>
  <mergeCells count="6">
    <mergeCell ref="A6:L6"/>
    <mergeCell ref="A18:L18"/>
    <mergeCell ref="A1:B2"/>
    <mergeCell ref="A53:L53"/>
    <mergeCell ref="A35:L35"/>
    <mergeCell ref="C1:L2"/>
  </mergeCells>
  <printOptions horizontalCentered="1"/>
  <pageMargins left="0.51" right="0.51" top="0.79" bottom="0.79" header="0.5" footer="0.5"/>
  <pageSetup orientation="portrait" paperSize="9" scale="6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Logo</t>
        </is>
      </c>
      <c r="C1" s="60" t="inlineStr">
        <is>
          <t>Croqui / planta do imóvel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4">
      <c r="A4" s="24" t="inlineStr">
        <is>
          <t>(desenho feito pela equipe)</t>
        </is>
      </c>
    </row>
  </sheetData>
  <mergeCells count="3">
    <mergeCell ref="A1:B2"/>
    <mergeCell ref="A4:L4"/>
    <mergeCell ref="C1:L2"/>
  </mergeCells>
  <pageMargins left="0.51" right="0.51" top="0.79" bottom="0.79" header="0.5" footer="0.5"/>
  <pageSetup orientation="portrait" paperSize="9" scale="8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.140000000000001" customWidth="1" min="1" max="1"/>
    <col width="12.14" customWidth="1" min="10" max="10"/>
    <col width="9.140000000000001" customWidth="1" min="11" max="11"/>
    <col width="7.29" customWidth="1" min="12" max="12"/>
  </cols>
  <sheetData>
    <row r="1">
      <c r="A1" s="24" t="inlineStr">
        <is>
          <t>Logo</t>
        </is>
      </c>
      <c r="C1" s="60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3" ht="6.95" customHeight="1"/>
    <row r="4">
      <c r="A4" s="4" t="inlineStr">
        <is>
          <t>Junção:</t>
        </is>
      </c>
      <c r="B4">
        <f>+PAG.1!B4</f>
        <v/>
      </c>
      <c r="F4" s="4" t="inlineStr">
        <is>
          <t>Protocolo:</t>
        </is>
      </c>
      <c r="H4">
        <f>+PAG.1!H4</f>
        <v/>
      </c>
      <c r="J4" s="4" t="inlineStr">
        <is>
          <t>Nº laudo:</t>
        </is>
      </c>
      <c r="K4">
        <f>+PAG.1!K4</f>
        <v/>
      </c>
    </row>
    <row r="5" ht="6.95" customHeight="1"/>
    <row r="6" ht="21" customHeight="1">
      <c r="A6" s="43" t="inlineStr">
        <is>
          <t>RELATÓRIO FOTOGRÁFICO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</row>
    <row r="9" ht="21" customHeight="1">
      <c r="B9" s="14" t="inlineStr">
        <is>
          <t>Inserir as fotos no formato que achar conveniente.</t>
        </is>
      </c>
    </row>
    <row r="10" ht="21" customHeight="1"/>
    <row r="11" ht="21" customHeight="1">
      <c r="B11" s="14" t="inlineStr">
        <is>
          <t>Lembrete:</t>
        </is>
      </c>
    </row>
    <row r="12" ht="21" customHeight="1">
      <c r="B12" s="14" t="inlineStr">
        <is>
          <t>* fotos de todos os ambientes;</t>
        </is>
      </c>
    </row>
    <row r="13" ht="21" customHeight="1">
      <c r="B13" s="14" t="inlineStr">
        <is>
          <t>* fotos do logradouro.</t>
        </is>
      </c>
    </row>
    <row r="14" ht="21" customHeight="1"/>
  </sheetData>
  <mergeCells count="3">
    <mergeCell ref="A1:B2"/>
    <mergeCell ref="A6:L6"/>
    <mergeCell ref="C1:L2"/>
  </mergeCells>
  <pageMargins left="0.51" right="0.51" top="0.79" bottom="0.79" header="0.5" footer="0.5"/>
  <pageSetup orientation="portrait" paperSize="9" scale="8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2026-10-16T16:29:29Z</dcterms:created>
  <dcterms:modified xmlns:dcterms="http://purl.org/dc/terms/" xmlns:xsi="http://www.w3.org/2001/XMLSchema-instance" xsi:type="dcterms:W3CDTF">2026-10-16T16:29:29Z</dcterms:modified>
</cp:coreProperties>
</file>